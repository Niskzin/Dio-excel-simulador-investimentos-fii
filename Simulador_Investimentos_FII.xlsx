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lex\Downloads\"/>
    </mc:Choice>
  </mc:AlternateContent>
  <xr:revisionPtr revIDLastSave="0" documentId="13_ncr:1_{2F2D9E7C-81C9-40FC-B28B-DC19C2CB1BD2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APP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2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G4" i="2"/>
  <c r="A4" i="2"/>
  <c r="G3" i="2"/>
  <c r="G6" i="2" s="1"/>
  <c r="A3" i="2"/>
  <c r="C31" i="1"/>
  <c r="D31" i="1" s="1"/>
  <c r="C30" i="1"/>
  <c r="D30" i="1" s="1"/>
  <c r="C29" i="1"/>
  <c r="D29" i="1" s="1"/>
  <c r="C28" i="1"/>
  <c r="D28" i="1" s="1"/>
  <c r="C27" i="1"/>
  <c r="D27" i="1" s="1"/>
  <c r="D21" i="1"/>
  <c r="G15" i="1" s="1"/>
  <c r="G14" i="1"/>
  <c r="D14" i="1"/>
  <c r="G7" i="2" l="1"/>
  <c r="D22" i="1"/>
  <c r="G16" i="1" s="1"/>
</calcChain>
</file>

<file path=xl/sharedStrings.xml><?xml version="1.0" encoding="utf-8"?>
<sst xmlns="http://schemas.openxmlformats.org/spreadsheetml/2006/main" count="72" uniqueCount="43">
  <si>
    <t>SIMULADOR DE INVESTIMENTOS
EM FUNDOS IMOBILIÁRIOS</t>
  </si>
  <si>
    <t>Planeje seus aportes, visualize o patrimônio e estime seus dividendos.</t>
  </si>
  <si>
    <t>CONFIGURAÇÕES</t>
  </si>
  <si>
    <t>PERFIL DA CARTEIRA</t>
  </si>
  <si>
    <t>Salário</t>
  </si>
  <si>
    <t>Escolha um perfil</t>
  </si>
  <si>
    <t>Moderado</t>
  </si>
  <si>
    <t>Rendimento da carteira</t>
  </si>
  <si>
    <t>Sugestão de investimento (30%)</t>
  </si>
  <si>
    <t>Total investido</t>
  </si>
  <si>
    <t>Rendimento acumulado</t>
  </si>
  <si>
    <t>Dividendos anuais estimados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</si>
  <si>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</si>
  <si>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</si>
  <si>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</si>
  <si>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</si>
  <si>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</si>
  <si>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 estimados</t>
  </si>
  <si>
    <t>CENÁRIOS DE LONGO PRAZO</t>
  </si>
  <si>
    <t>Anos</t>
  </si>
  <si>
    <t>Patrimônio estimado</t>
  </si>
  <si>
    <t>Dividendos/mês</t>
  </si>
  <si>
    <t>Observação: esta ferramenta é uma simulação educacional. Os resultados dependem das taxas e aportes informados e não representam garantia de rentabilidade futura.</t>
  </si>
  <si>
    <t>ALOCACÃO SUGERIDA POR PERFIL</t>
  </si>
  <si>
    <t>CHAVE</t>
  </si>
  <si>
    <t>PERFIL</t>
  </si>
  <si>
    <t>TIPO DE FII</t>
  </si>
  <si>
    <t>%</t>
  </si>
  <si>
    <t>SIMULAÇÃO DO APORTE</t>
  </si>
  <si>
    <t>Conservador</t>
  </si>
  <si>
    <t>PAPEL</t>
  </si>
  <si>
    <t>Perfil selecionado</t>
  </si>
  <si>
    <t>TIJOLO</t>
  </si>
  <si>
    <t>Aporte mensal</t>
  </si>
  <si>
    <t>HÍBRIDOS</t>
  </si>
  <si>
    <t>Tipo de FII</t>
  </si>
  <si>
    <t>FOFs</t>
  </si>
  <si>
    <t>Percentual</t>
  </si>
  <si>
    <t>DESENVOLVIMENTO</t>
  </si>
  <si>
    <t>Valor sugerido</t>
  </si>
  <si>
    <t>HOTELARIAS</t>
  </si>
  <si>
    <t>Use esta aba para visualizar uma sugestão de distribuição do aporte entre tipos de FII conforme o perfil escolhido na aba APP.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</si>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</sst>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666666"/>
      <name val="Calibri"/>
    </font>
    <font>
      <b/>
      <sz val="12"/>
      <color rgb="FFFFFFFF"/>
      <name val="Calibri"/>
    </font>
    <font>
      <b/>
      <sz val="11"/>
      <color rgb="FF171321"/>
      <name val="Calibri"/>
    </font>
    <font>
      <b/>
      <sz val="11"/>
      <color rgb="FFFFFFFF"/>
      <name val="Calibri"/>
    </font>
    <font>
      <i/>
      <sz val="10"/>
      <color rgb="FF171321"/>
      <name val="Calibri"/>
    </font>
    <font>
      <b/>
      <sz val="16"/>
      <color rgb="FFFFFFFF"/>
      <name val="Calibri"/>
    </font>
    <font>
      <i/>
      <sz val="11"/>
      <color rgb="FF17132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1321"/>
      </patternFill>
    </fill>
    <fill>
      <patternFill patternType="solid">
        <fgColor rgb="FF6C3CCF"/>
      </patternFill>
    </fill>
    <fill>
      <patternFill patternType="solid">
        <fgColor rgb="FFF1ECF8"/>
      </patternFill>
    </fill>
    <fill>
      <patternFill patternType="solid">
        <fgColor rgb="FFD946A8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4E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Alignment="1">
      <alignment vertical="center"/>
    </xf>
    <xf numFmtId="164" fontId="0" fillId="4" borderId="1" xfId="0" applyNumberFormat="1" applyFill="1" applyBorder="1" applyAlignment="1">
      <alignment horizontal="right"/>
    </xf>
    <xf numFmtId="0" fontId="4" fillId="4" borderId="0" xfId="0" applyFont="1" applyFill="1" applyAlignment="1">
      <alignment horizontal="center"/>
    </xf>
    <xf numFmtId="10" fontId="0" fillId="4" borderId="1" xfId="0" applyNumberFormat="1" applyFill="1" applyBorder="1" applyAlignment="1">
      <alignment horizontal="right"/>
    </xf>
    <xf numFmtId="164" fontId="0" fillId="0" borderId="0" xfId="0" applyNumberFormat="1"/>
    <xf numFmtId="0" fontId="3" fillId="5" borderId="0" xfId="0" applyFont="1" applyFill="1" applyAlignment="1">
      <alignment horizontal="left" vertical="center"/>
    </xf>
    <xf numFmtId="1" fontId="0" fillId="4" borderId="1" xfId="0" applyNumberForma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5" fillId="3" borderId="0" xfId="0" applyFont="1" applyFill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4" fillId="0" borderId="0" xfId="0" applyFont="1"/>
    <xf numFmtId="0" fontId="0" fillId="4" borderId="1" xfId="0" applyFill="1" applyBorder="1"/>
    <xf numFmtId="164" fontId="0" fillId="4" borderId="1" xfId="0" applyNumberFormat="1" applyFill="1" applyBorder="1"/>
    <xf numFmtId="9" fontId="0" fillId="4" borderId="1" xfId="0" applyNumberFormat="1" applyFill="1" applyBorder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8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Patrimônio estimado por prazo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11591269841269841"/>
          <c:w val="0.83794421296296295"/>
          <c:h val="0.828650793650793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APP!$C$26</c:f>
              <c:strCache>
                <c:ptCount val="1"/>
                <c:pt idx="0">
                  <c:v>Patrimônio estimado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APP!$B$27:$B$31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APP!$C$27:$C$31</c:f>
              <c:numCache>
                <c:formatCode>\R\$\ #,##0.00</c:formatCode>
                <c:ptCount val="5"/>
                <c:pt idx="0">
                  <c:v>13171.577555559783</c:v>
                </c:pt>
                <c:pt idx="1">
                  <c:v>38311.933415940111</c:v>
                </c:pt>
                <c:pt idx="2">
                  <c:v>100108.73470495906</c:v>
                </c:pt>
                <c:pt idx="3">
                  <c:v>360565.60963756416</c:v>
                </c:pt>
                <c:pt idx="4">
                  <c:v>1038206.6156855426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6-4299-9533-EBC60E063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Patrimônio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18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36"/>
  <sheetViews>
    <sheetView showGridLines="0" tabSelected="1" zoomScale="90" workbookViewId="0">
      <pane xSplit="1" ySplit="10" topLeftCell="B13" activePane="bottomRight" state="frozen"/>
      <selection pane="topRight"/>
      <selection pane="bottomLeft"/>
      <selection pane="bottomRight" activeCell="B6" sqref="B6:G6"/>
    </sheetView>
  </sheetViews>
  <sheetFormatPr defaultRowHeight="15" x14ac:dyDescent="0.25"/>
  <cols>
    <col min="1" max="1" width="3" customWidth="1"/>
    <col min="2" max="2" width="29.85546875" customWidth="1"/>
    <col min="3" max="3" width="23.140625" customWidth="1"/>
    <col min="4" max="4" width="22" customWidth="1"/>
    <col min="5" max="5" width="4" customWidth="1"/>
    <col min="6" max="6" width="24" customWidth="1"/>
    <col min="7" max="7" width="18" customWidth="1"/>
  </cols>
  <sheetData>
    <row r="2" spans="2:7" x14ac:dyDescent="0.25">
      <c r="B2" s="20" t="s">
        <v>0</v>
      </c>
      <c r="C2" s="19"/>
      <c r="D2" s="19"/>
      <c r="E2" s="19"/>
      <c r="F2" s="19"/>
      <c r="G2" s="19"/>
    </row>
    <row r="3" spans="2:7" x14ac:dyDescent="0.25">
      <c r="B3" s="19"/>
      <c r="C3" s="19"/>
      <c r="D3" s="19"/>
      <c r="E3" s="19"/>
      <c r="F3" s="19"/>
      <c r="G3" s="19"/>
    </row>
    <row r="4" spans="2:7" x14ac:dyDescent="0.25">
      <c r="B4" s="19"/>
      <c r="C4" s="19"/>
      <c r="D4" s="19"/>
      <c r="E4" s="19"/>
      <c r="F4" s="19"/>
      <c r="G4" s="19"/>
    </row>
    <row r="6" spans="2:7" x14ac:dyDescent="0.25">
      <c r="B6" s="23" t="s">
        <v>1</v>
      </c>
      <c r="C6" s="19"/>
      <c r="D6" s="19"/>
      <c r="E6" s="19"/>
      <c r="F6" s="19"/>
      <c r="G6" s="19"/>
    </row>
    <row r="11" spans="2:7" ht="15.75" x14ac:dyDescent="0.25">
      <c r="B11" s="18" t="s">
        <v>2</v>
      </c>
      <c r="C11" s="19"/>
      <c r="D11" s="19"/>
      <c r="F11" s="18" t="s">
        <v>3</v>
      </c>
      <c r="G11" s="19"/>
    </row>
    <row r="12" spans="2:7" x14ac:dyDescent="0.25">
      <c r="B12" s="1" t="s">
        <v>4</v>
      </c>
      <c r="D12" s="2">
        <v>3000</v>
      </c>
      <c r="F12" s="1" t="s">
        <v>5</v>
      </c>
      <c r="G12" s="3" t="s">
        <v>6</v>
      </c>
    </row>
    <row r="13" spans="2:7" x14ac:dyDescent="0.25">
      <c r="B13" s="1" t="s">
        <v>7</v>
      </c>
      <c r="D13" s="4">
        <v>7.0000000000000001E-3</v>
      </c>
    </row>
    <row r="14" spans="2:7" x14ac:dyDescent="0.25">
      <c r="B14" s="1" t="s">
        <v>8</v>
      </c>
      <c r="D14" s="2">
        <f>D12*30%</f>
        <v>900</v>
      </c>
      <c r="F14" s="1" t="s">
        <v>9</v>
      </c>
      <c r="G14" s="5">
        <f>D18*D19*12</f>
        <v>60000</v>
      </c>
    </row>
    <row r="15" spans="2:7" x14ac:dyDescent="0.25">
      <c r="F15" s="1" t="s">
        <v>10</v>
      </c>
      <c r="G15" s="5">
        <f>D21-G14</f>
        <v>40108.734704959061</v>
      </c>
    </row>
    <row r="16" spans="2:7" x14ac:dyDescent="0.25">
      <c r="F16" s="1" t="s">
        <v>11</v>
      </c>
      <c r="G16" s="5">
        <f>D22*12</f>
        <v>8409.1337152165615</v>
      </c>
    </row>
    <row r="17" spans="2:4" ht="15.75" x14ac:dyDescent="0.25">
      <c r="B17" s="21" t="s">
        <v>12</v>
      </c>
      <c r="C17" s="19"/>
      <c r="D17" s="19"/>
    </row>
    <row r="18" spans="2:4" x14ac:dyDescent="0.25">
      <c r="B18" s="1" t="s">
        <v>13</v>
      </c>
      <c r="D18" s="2">
        <v>500</v>
      </c>
    </row>
    <row r="19" spans="2:4" x14ac:dyDescent="0.25">
      <c r="B19" s="1" t="s">
        <v>14</v>
      </c>
      <c r="D19" s="7">
        <v>10</v>
      </c>
    </row>
    <row r="20" spans="2:4" x14ac:dyDescent="0.25">
      <c r="B20" s="1" t="s">
        <v>15</v>
      </c>
      <c r="D20" s="4">
        <v>8.0000000000000002E-3</v>
      </c>
    </row>
    <row r="21" spans="2:4" x14ac:dyDescent="0.25">
      <c r="B21" s="1" t="s">
        <v>16</v>
      </c>
      <c r="D21" s="2">
        <f>FV(D20,D19*12,-D18)</f>
        <v>100108.73470495906</v>
      </c>
    </row>
    <row r="22" spans="2:4" x14ac:dyDescent="0.25">
      <c r="B22" s="1" t="s">
        <v>17</v>
      </c>
      <c r="D22" s="2">
        <f>D21*D13</f>
        <v>700.76114293471346</v>
      </c>
    </row>
    <row r="25" spans="2:4" ht="15.75" x14ac:dyDescent="0.25">
      <c r="B25" s="18" t="s">
        <v>18</v>
      </c>
      <c r="C25" s="19"/>
      <c r="D25" s="19"/>
    </row>
    <row r="26" spans="2:4" x14ac:dyDescent="0.25">
      <c r="B26" s="8" t="s">
        <v>19</v>
      </c>
      <c r="C26" s="8" t="s">
        <v>20</v>
      </c>
      <c r="D26" s="8" t="s">
        <v>21</v>
      </c>
    </row>
    <row r="27" spans="2:4" x14ac:dyDescent="0.25">
      <c r="B27" s="9">
        <v>2</v>
      </c>
      <c r="C27" s="10">
        <f>FV($D$20,B27*12,-$D$18)</f>
        <v>13171.577555559783</v>
      </c>
      <c r="D27" s="10">
        <f>C27*$D$13</f>
        <v>92.201042888918479</v>
      </c>
    </row>
    <row r="28" spans="2:4" x14ac:dyDescent="0.25">
      <c r="B28" s="9">
        <v>5</v>
      </c>
      <c r="C28" s="10">
        <f>FV($D$20,B28*12,-$D$18)</f>
        <v>38311.933415940111</v>
      </c>
      <c r="D28" s="10">
        <f>C28*$D$13</f>
        <v>268.18353391158081</v>
      </c>
    </row>
    <row r="29" spans="2:4" x14ac:dyDescent="0.25">
      <c r="B29" s="9">
        <v>10</v>
      </c>
      <c r="C29" s="10">
        <f>FV($D$20,B29*12,-$D$18)</f>
        <v>100108.73470495906</v>
      </c>
      <c r="D29" s="10">
        <f>C29*$D$13</f>
        <v>700.76114293471346</v>
      </c>
    </row>
    <row r="30" spans="2:4" x14ac:dyDescent="0.25">
      <c r="B30" s="9">
        <v>20</v>
      </c>
      <c r="C30" s="10">
        <f>FV($D$20,B30*12,-$D$18)</f>
        <v>360565.60963756416</v>
      </c>
      <c r="D30" s="10">
        <f>C30*$D$13</f>
        <v>2523.9592674629494</v>
      </c>
    </row>
    <row r="31" spans="2:4" x14ac:dyDescent="0.25">
      <c r="B31" s="9">
        <v>30</v>
      </c>
      <c r="C31" s="10">
        <f>FV($D$20,B31*12,-$D$18)</f>
        <v>1038206.6156855426</v>
      </c>
      <c r="D31" s="10">
        <f>C31*$D$13</f>
        <v>7267.4463097987982</v>
      </c>
    </row>
    <row r="34" spans="2:7" x14ac:dyDescent="0.25">
      <c r="B34" s="22" t="s">
        <v>22</v>
      </c>
      <c r="C34" s="19"/>
      <c r="D34" s="19"/>
      <c r="E34" s="19"/>
      <c r="F34" s="19"/>
      <c r="G34" s="19"/>
    </row>
    <row r="35" spans="2:7" x14ac:dyDescent="0.25">
      <c r="B35" s="19"/>
      <c r="C35" s="19"/>
      <c r="D35" s="19"/>
      <c r="E35" s="19"/>
      <c r="F35" s="19"/>
      <c r="G35" s="19"/>
    </row>
    <row r="36" spans="2:7" x14ac:dyDescent="0.25">
      <c r="B36" s="19"/>
      <c r="C36" s="19"/>
      <c r="D36" s="19"/>
      <c r="E36" s="19"/>
      <c r="F36" s="19"/>
      <c r="G36" s="19"/>
    </row>
  </sheetData>
  <mergeCells count="7">
    <mergeCell ref="B11:D11"/>
    <mergeCell ref="F11:G11"/>
    <mergeCell ref="B2:G4"/>
    <mergeCell ref="B17:D17"/>
    <mergeCell ref="B34:G36"/>
    <mergeCell ref="B25:D25"/>
    <mergeCell ref="B6:G6"/>
  </mergeCells>
  <dataValidations count="1">
    <dataValidation type="list" sqref="G12" xr:uid="{00000000-0002-0000-0000-000000000000}">
      <formula1>"Conservador,Moderado,Agressivo"</formula1>
    </dataValidation>
  </dataValidations>
  <pageMargins left="0.75" right="0.75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"/>
  <sheetViews>
    <sheetView showGridLines="0" zoomScale="90" workbookViewId="0">
      <selection sqref="A1:D1"/>
    </sheetView>
  </sheetViews>
  <sheetFormatPr defaultRowHeight="15" x14ac:dyDescent="0.25"/>
  <cols>
    <col min="1" max="1" width="36.42578125" customWidth="1"/>
    <col min="2" max="2" width="18" customWidth="1"/>
    <col min="3" max="3" width="22" customWidth="1"/>
    <col min="4" max="4" width="12" customWidth="1"/>
    <col min="5" max="5" width="5" customWidth="1"/>
    <col min="6" max="6" width="20" customWidth="1"/>
    <col min="7" max="7" width="22" customWidth="1"/>
    <col min="8" max="8" width="15" customWidth="1"/>
  </cols>
  <sheetData>
    <row r="1" spans="1:8" ht="21" x14ac:dyDescent="0.35">
      <c r="A1" s="24" t="s">
        <v>23</v>
      </c>
      <c r="B1" s="19"/>
      <c r="C1" s="19"/>
      <c r="D1" s="19"/>
    </row>
    <row r="2" spans="1:8" ht="15.75" x14ac:dyDescent="0.25">
      <c r="A2" s="11" t="s">
        <v>24</v>
      </c>
      <c r="B2" s="11" t="s">
        <v>25</v>
      </c>
      <c r="C2" s="11" t="s">
        <v>26</v>
      </c>
      <c r="D2" s="11" t="s">
        <v>27</v>
      </c>
      <c r="F2" s="6" t="s">
        <v>28</v>
      </c>
    </row>
    <row r="3" spans="1:8" x14ac:dyDescent="0.25">
      <c r="A3" s="12" t="str">
        <f t="shared" ref="A3:A20" si="0">B3&amp;"-"&amp;C3</f>
        <v>Conservador-PAPEL</v>
      </c>
      <c r="B3" s="12" t="s">
        <v>29</v>
      </c>
      <c r="C3" s="12" t="s">
        <v>30</v>
      </c>
      <c r="D3" s="13">
        <v>0.3</v>
      </c>
      <c r="F3" s="14" t="s">
        <v>31</v>
      </c>
      <c r="G3" s="15" t="str">
        <f>APP!G12</f>
        <v>Moderado</v>
      </c>
    </row>
    <row r="4" spans="1:8" x14ac:dyDescent="0.25">
      <c r="A4" s="12" t="str">
        <f t="shared" si="0"/>
        <v>Conservador-TIJOLO</v>
      </c>
      <c r="B4" s="12" t="s">
        <v>29</v>
      </c>
      <c r="C4" s="12" t="s">
        <v>32</v>
      </c>
      <c r="D4" s="13">
        <v>0.5</v>
      </c>
      <c r="F4" s="14" t="s">
        <v>33</v>
      </c>
      <c r="G4" s="16">
        <f>APP!D18</f>
        <v>500</v>
      </c>
    </row>
    <row r="5" spans="1:8" x14ac:dyDescent="0.25">
      <c r="A5" s="12" t="str">
        <f t="shared" si="0"/>
        <v>Conservador-HÍBRIDOS</v>
      </c>
      <c r="B5" s="12" t="s">
        <v>29</v>
      </c>
      <c r="C5" s="12" t="s">
        <v>34</v>
      </c>
      <c r="D5" s="13">
        <v>0.1</v>
      </c>
      <c r="F5" s="14" t="s">
        <v>35</v>
      </c>
      <c r="G5" s="15" t="s">
        <v>30</v>
      </c>
    </row>
    <row r="6" spans="1:8" x14ac:dyDescent="0.25">
      <c r="A6" s="12" t="str">
        <f t="shared" si="0"/>
        <v>Conservador-FOFs</v>
      </c>
      <c r="B6" s="12" t="s">
        <v>29</v>
      </c>
      <c r="C6" s="12" t="s">
        <v>36</v>
      </c>
      <c r="D6" s="13">
        <v>0.1</v>
      </c>
      <c r="F6" s="14" t="s">
        <v>37</v>
      </c>
      <c r="G6" s="17">
        <f>SUMIFS($D$3:$D$20,$B$3:$B$20,$G$3,$C$3:$C$20,$G$5)</f>
        <v>0.32</v>
      </c>
    </row>
    <row r="7" spans="1:8" x14ac:dyDescent="0.25">
      <c r="A7" s="12" t="str">
        <f t="shared" si="0"/>
        <v>Conservador-DESENVOLVIMENTO</v>
      </c>
      <c r="B7" s="12" t="s">
        <v>29</v>
      </c>
      <c r="C7" s="12" t="s">
        <v>38</v>
      </c>
      <c r="D7" s="13">
        <v>0</v>
      </c>
      <c r="F7" s="14" t="s">
        <v>39</v>
      </c>
      <c r="G7" s="16">
        <f>G4*G6</f>
        <v>160</v>
      </c>
    </row>
    <row r="8" spans="1:8" x14ac:dyDescent="0.25">
      <c r="A8" s="12" t="str">
        <f t="shared" si="0"/>
        <v>Conservador-HOTELARIAS</v>
      </c>
      <c r="B8" s="12" t="s">
        <v>29</v>
      </c>
      <c r="C8" s="12" t="s">
        <v>40</v>
      </c>
      <c r="D8" s="13">
        <v>0</v>
      </c>
    </row>
    <row r="9" spans="1:8" x14ac:dyDescent="0.25">
      <c r="A9" s="12" t="str">
        <f t="shared" si="0"/>
        <v>Moderado-PAPEL</v>
      </c>
      <c r="B9" s="12" t="s">
        <v>6</v>
      </c>
      <c r="C9" s="12" t="s">
        <v>30</v>
      </c>
      <c r="D9" s="13">
        <v>0.32</v>
      </c>
    </row>
    <row r="10" spans="1:8" x14ac:dyDescent="0.25">
      <c r="A10" s="12" t="str">
        <f t="shared" si="0"/>
        <v>Moderado-TIJOLO</v>
      </c>
      <c r="B10" s="12" t="s">
        <v>6</v>
      </c>
      <c r="C10" s="12" t="s">
        <v>32</v>
      </c>
      <c r="D10" s="13">
        <v>0.35</v>
      </c>
      <c r="F10" s="25" t="s">
        <v>41</v>
      </c>
      <c r="G10" s="19"/>
      <c r="H10" s="19"/>
    </row>
    <row r="11" spans="1:8" x14ac:dyDescent="0.25">
      <c r="A11" s="12" t="str">
        <f t="shared" si="0"/>
        <v>Moderado-HÍBRIDOS</v>
      </c>
      <c r="B11" s="12" t="s">
        <v>6</v>
      </c>
      <c r="C11" s="12" t="s">
        <v>34</v>
      </c>
      <c r="D11" s="13">
        <v>0.08</v>
      </c>
      <c r="F11" s="19"/>
      <c r="G11" s="19"/>
      <c r="H11" s="19"/>
    </row>
    <row r="12" spans="1:8" x14ac:dyDescent="0.25">
      <c r="A12" s="12" t="str">
        <f t="shared" si="0"/>
        <v>Moderado-FOFs</v>
      </c>
      <c r="B12" s="12" t="s">
        <v>6</v>
      </c>
      <c r="C12" s="12" t="s">
        <v>36</v>
      </c>
      <c r="D12" s="13">
        <v>0.05</v>
      </c>
      <c r="F12" s="19"/>
      <c r="G12" s="19"/>
      <c r="H12" s="19"/>
    </row>
    <row r="13" spans="1:8" x14ac:dyDescent="0.25">
      <c r="A13" s="12" t="str">
        <f t="shared" si="0"/>
        <v>Moderado-DESENVOLVIMENTO</v>
      </c>
      <c r="B13" s="12" t="s">
        <v>6</v>
      </c>
      <c r="C13" s="12" t="s">
        <v>38</v>
      </c>
      <c r="D13" s="13">
        <v>0.1</v>
      </c>
    </row>
    <row r="14" spans="1:8" x14ac:dyDescent="0.25">
      <c r="A14" s="12" t="str">
        <f t="shared" si="0"/>
        <v>Moderado-HOTELARIAS</v>
      </c>
      <c r="B14" s="12" t="s">
        <v>6</v>
      </c>
      <c r="C14" s="12" t="s">
        <v>40</v>
      </c>
      <c r="D14" s="13">
        <v>0.1</v>
      </c>
    </row>
    <row r="15" spans="1:8" x14ac:dyDescent="0.25">
      <c r="A15" s="12" t="str">
        <f t="shared" si="0"/>
        <v>Agressivo-PAPEL</v>
      </c>
      <c r="B15" s="12" t="s">
        <v>42</v>
      </c>
      <c r="C15" s="12" t="s">
        <v>30</v>
      </c>
      <c r="D15" s="13">
        <v>0.5</v>
      </c>
    </row>
    <row r="16" spans="1:8" x14ac:dyDescent="0.25">
      <c r="A16" s="12" t="str">
        <f t="shared" si="0"/>
        <v>Agressivo-TIJOLO</v>
      </c>
      <c r="B16" s="12" t="s">
        <v>42</v>
      </c>
      <c r="C16" s="12" t="s">
        <v>32</v>
      </c>
      <c r="D16" s="13">
        <v>0.1</v>
      </c>
    </row>
    <row r="17" spans="1:4" x14ac:dyDescent="0.25">
      <c r="A17" s="12" t="str">
        <f t="shared" si="0"/>
        <v>Agressivo-HÍBRIDOS</v>
      </c>
      <c r="B17" s="12" t="s">
        <v>42</v>
      </c>
      <c r="C17" s="12" t="s">
        <v>34</v>
      </c>
      <c r="D17" s="13">
        <v>0.05</v>
      </c>
    </row>
    <row r="18" spans="1:4" x14ac:dyDescent="0.25">
      <c r="A18" s="12" t="str">
        <f t="shared" si="0"/>
        <v>Agressivo-FOFs</v>
      </c>
      <c r="B18" s="12" t="s">
        <v>42</v>
      </c>
      <c r="C18" s="12" t="s">
        <v>36</v>
      </c>
      <c r="D18" s="13">
        <v>0.05</v>
      </c>
    </row>
    <row r="19" spans="1:4" x14ac:dyDescent="0.25">
      <c r="A19" s="12" t="str">
        <f t="shared" si="0"/>
        <v>Agressivo-DESENVOLVIMENTO</v>
      </c>
      <c r="B19" s="12" t="s">
        <v>42</v>
      </c>
      <c r="C19" s="12" t="s">
        <v>38</v>
      </c>
      <c r="D19" s="13">
        <v>0.2</v>
      </c>
    </row>
    <row r="20" spans="1:4" x14ac:dyDescent="0.25">
      <c r="A20" s="12" t="str">
        <f t="shared" si="0"/>
        <v>Agressivo-HOTELARIAS</v>
      </c>
      <c r="B20" s="12" t="s">
        <v>42</v>
      </c>
      <c r="C20" s="12" t="s">
        <v>40</v>
      </c>
      <c r="D20" s="13">
        <v>0.1</v>
      </c>
    </row>
  </sheetData>
  <mergeCells count="2">
    <mergeCell ref="A1:D1"/>
    <mergeCell ref="F10:H12"/>
  </mergeCells>
  <dataValidations count="1">
    <dataValidation type="list" sqref="G5" xr:uid="{00000000-0002-0000-0100-000000000000}">
      <formula1>"PAPEL,TIJOLO,HÍBRIDOS,FOFs,DESENVOLVIMENTO,HOTELARIAS"</formula1>
    </dataValidation>
  </dataValidation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APP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Alexandre</cp:lastModifiedBy>
  <dcterms:created xsi:type="dcterms:W3CDTF">2026-09-12T22:29:18Z</dcterms:created>
  <dcterms:modified xsi:type="dcterms:W3CDTF">2026-09-12T22:35:03Z</dcterms:modified>
</cp:coreProperties>
</file>